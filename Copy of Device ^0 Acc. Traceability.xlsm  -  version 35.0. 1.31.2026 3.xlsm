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1f5c4aeb40eefcf/Desktop/New folder/New folder (2)/"/>
    </mc:Choice>
  </mc:AlternateContent>
  <xr:revisionPtr revIDLastSave="108" documentId="8_{8E526C71-76C5-4D89-840C-E64F6F38882C}" xr6:coauthVersionLast="47" xr6:coauthVersionMax="47" xr10:uidLastSave="{F54B3809-A9B9-4950-AFD8-5DB6BCFC94C9}"/>
  <bookViews>
    <workbookView xWindow="-110" yWindow="-110" windowWidth="19420" windowHeight="10300" firstSheet="2" activeTab="3" xr2:uid="{00000000-000D-0000-FFFF-FFFF00000000}"/>
  </bookViews>
  <sheets>
    <sheet name="Master_Devices" sheetId="1" r:id="rId1"/>
    <sheet name="Accessories" sheetId="2" r:id="rId2"/>
    <sheet name="Dashboard" sheetId="5" r:id="rId3"/>
    <sheet name="Sheet1" sheetId="6" r:id="rId4"/>
    <sheet name="Report_Template" sheetId="7" r:id="rId5"/>
    <sheet name="Transactions" sheetId="3" r:id="rId6"/>
    <sheet name="Maintenance" sheetId="4" r:id="rId7"/>
  </sheets>
  <definedNames>
    <definedName name="_xleta.IFERROR" hidden="1" xlm="1">#NAME?</definedName>
    <definedName name="_xleta.VSTACK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5" l="1" a="1"/>
  <c r="G12" i="5" s="1"/>
  <c r="I1" i="5" a="1"/>
  <c r="I1" i="5" s="1"/>
  <c r="F2" i="1"/>
  <c r="F3" i="1"/>
  <c r="I7" i="5" s="1" a="1"/>
  <c r="I7" i="5" s="1"/>
  <c r="E2" i="1"/>
  <c r="E3" i="1"/>
  <c r="D1" i="5"/>
  <c r="I5" i="5"/>
  <c r="H5" i="5"/>
  <c r="I9" i="5" a="1"/>
  <c r="I9" i="5" s="1"/>
  <c r="H9" i="5"/>
  <c r="E5" i="5"/>
  <c r="A12" i="5" l="1" a="1"/>
  <c r="A12" i="5" s="1"/>
  <c r="A18" i="5" a="1"/>
  <c r="A18" i="5" s="1"/>
  <c r="E2" i="2"/>
  <c r="E3" i="2"/>
  <c r="I3" i="5" s="1"/>
  <c r="D2" i="1"/>
  <c r="D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<sst xmlns="http://schemas.openxmlformats.org/spreadsheetml/2006/main" count="71" uniqueCount="51">
  <si>
    <t>Serial Number</t>
  </si>
  <si>
    <t>Item Name</t>
  </si>
  <si>
    <t>Vendor Warranty Exp</t>
  </si>
  <si>
    <t>Customer Warranty Exp</t>
  </si>
  <si>
    <t>Status</t>
  </si>
  <si>
    <t>Accessory Code</t>
  </si>
  <si>
    <t>Accessory Name</t>
  </si>
  <si>
    <t xml:space="preserve">Linked Serial Number </t>
  </si>
  <si>
    <t xml:space="preserve">Purchase Date </t>
  </si>
  <si>
    <t>Date</t>
  </si>
  <si>
    <t>ID</t>
  </si>
  <si>
    <t>Action</t>
  </si>
  <si>
    <t>Destination</t>
  </si>
  <si>
    <t>Opening Stock</t>
  </si>
  <si>
    <t>Quantity</t>
  </si>
  <si>
    <t>Maintenance Type</t>
  </si>
  <si>
    <t>Details</t>
  </si>
  <si>
    <t>Cost</t>
  </si>
  <si>
    <t>Current Balance</t>
  </si>
  <si>
    <t xml:space="preserve">SEARCH BY SERIAL </t>
  </si>
  <si>
    <t>SEARCH BY ACCESSORY</t>
  </si>
  <si>
    <t>ARC 350</t>
  </si>
  <si>
    <t>NEW</t>
  </si>
  <si>
    <t>354-145</t>
  </si>
  <si>
    <t>Purchase</t>
  </si>
  <si>
    <t>bipolar cables</t>
  </si>
  <si>
    <t>Sale</t>
  </si>
  <si>
    <t>elezaby co.</t>
  </si>
  <si>
    <t>One-off</t>
  </si>
  <si>
    <t>change 2 optocupler for error 4186</t>
  </si>
  <si>
    <t>Purchase Date</t>
  </si>
  <si>
    <t>Sale Date</t>
  </si>
  <si>
    <t>Client Warranty (Months)</t>
  </si>
  <si>
    <t>Vendor Warranty (Months)</t>
  </si>
  <si>
    <t>Client Warranty Exp</t>
  </si>
  <si>
    <t>Live Countdown (Status Card)</t>
  </si>
  <si>
    <t>ERP SYSTEM - DEVICE REPORT</t>
  </si>
  <si>
    <t>Search Value:</t>
  </si>
  <si>
    <t>35102020</t>
  </si>
  <si>
    <t>Item Name:</t>
  </si>
  <si>
    <t>Report Date:</t>
  </si>
  <si>
    <t>LOG HISTORY / MAINTENANCE</t>
  </si>
  <si>
    <t>Maint. Date</t>
  </si>
  <si>
    <t>Technician</t>
  </si>
  <si>
    <t>LINKED ACCESSORIES</t>
  </si>
  <si>
    <t>Install Date</t>
  </si>
  <si>
    <t>Serial</t>
  </si>
  <si>
    <t>Linked</t>
  </si>
  <si>
    <t>Active</t>
  </si>
  <si>
    <t xml:space="preserve"> CompanyLogo</t>
  </si>
  <si>
    <t>1-2-206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</si>
</sst>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 Light"/>
      <family val="2"/>
      <scheme val="major"/>
    </font>
    <font>
      <b/>
      <i/>
      <sz val="11"/>
      <color theme="1"/>
      <name val="Calibri Light"/>
      <family val="2"/>
      <scheme val="major"/>
    </font>
    <font>
      <i/>
      <sz val="14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20"/>
      <color theme="1"/>
      <name val="Calibri Light"/>
      <family val="2"/>
      <scheme val="major"/>
    </font>
    <font>
      <b/>
      <i/>
      <sz val="18"/>
      <color theme="1"/>
      <name val="Calibri Light"/>
      <family val="2"/>
      <scheme val="major"/>
    </font>
    <font>
      <sz val="20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1" fillId="2" borderId="0" xfId="0" applyFont="1" applyFill="1"/>
    <xf numFmtId="14" fontId="0" fillId="0" borderId="0" xfId="0" applyNumberFormat="1"/>
    <xf numFmtId="0" fontId="2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0" fillId="2" borderId="0" xfId="0" applyNumberFormat="1" applyFill="1"/>
    <xf numFmtId="164" fontId="10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/>
    <xf numFmtId="164" fontId="1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164" fontId="6" fillId="2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22" fontId="0" fillId="0" borderId="0" xfId="0" applyNumberFormat="1"/>
    <xf numFmtId="0" fontId="18" fillId="0" borderId="0" xfId="0" applyFont="1"/>
    <xf numFmtId="0" fontId="0" fillId="5" borderId="0" xfId="0" applyFill="1"/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164" formatCode="dd/mm/yyyy;@"/>
    </dxf>
    <dxf>
      <numFmt numFmtId="164" formatCode="dd/mm/yyyy;@"/>
    </dxf>
    <dxf>
      <numFmt numFmtId="164" formatCode="dd/mm/yyyy;@"/>
    </dxf>
    <dxf>
      <numFmt numFmtId="164" formatCode="dd/mm/yyyy;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6</xdr:row>
      <xdr:rowOff>196850</xdr:rowOff>
    </xdr:from>
    <xdr:to>
      <xdr:col>1</xdr:col>
      <xdr:colOff>2063750</xdr:colOff>
      <xdr:row>8</xdr:row>
      <xdr:rowOff>565150</xdr:rowOff>
    </xdr:to>
    <xdr:sp macro="[0]!Clear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43651B-7E74-0548-D76E-099FFD445FFD}"/>
            </a:ext>
          </a:extLst>
        </xdr:cNvPr>
        <xdr:cNvSpPr/>
      </xdr:nvSpPr>
      <xdr:spPr>
        <a:xfrm>
          <a:off x="584200" y="1758950"/>
          <a:ext cx="2089150" cy="787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3</xdr:row>
      <xdr:rowOff>38100</xdr:rowOff>
    </xdr:from>
    <xdr:to>
      <xdr:col>3</xdr:col>
      <xdr:colOff>571500</xdr:colOff>
      <xdr:row>8</xdr:row>
      <xdr:rowOff>63500</xdr:rowOff>
    </xdr:to>
    <xdr:sp macro="[0]!OpenMyDashboard" textlink="">
      <xdr:nvSpPr>
        <xdr:cNvPr id="2" name="Rectangle 1">
          <a:extLst>
            <a:ext uri="{FF2B5EF4-FFF2-40B4-BE49-F238E27FC236}">
              <a16:creationId xmlns:a16="http://schemas.microsoft.com/office/drawing/2014/main" id="{9359AD35-18CF-743C-DF8C-EFB528B35631}"/>
            </a:ext>
          </a:extLst>
        </xdr:cNvPr>
        <xdr:cNvSpPr/>
      </xdr:nvSpPr>
      <xdr:spPr>
        <a:xfrm>
          <a:off x="571500" y="590550"/>
          <a:ext cx="1828800" cy="9461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Open My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1</xdr:row>
      <xdr:rowOff>38101</xdr:rowOff>
    </xdr:from>
    <xdr:to>
      <xdr:col>2</xdr:col>
      <xdr:colOff>1479550</xdr:colOff>
      <xdr:row>5</xdr:row>
      <xdr:rowOff>133658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98B7219-120D-051E-049D-45962CD2A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2750" y="577851"/>
          <a:ext cx="927100" cy="832157"/>
        </a:xfrm>
        <a:prstGeom prst="rect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</xdr:colOff>
      <xdr:row>5</xdr:row>
      <xdr:rowOff>0</xdr:rowOff>
    </xdr:from>
    <xdr:to>
      <xdr:col>16</xdr:col>
      <xdr:colOff>603250</xdr:colOff>
      <xdr:row>9</xdr:row>
      <xdr:rowOff>12700</xdr:rowOff>
    </xdr:to>
    <xdr:sp macro="[0]!SubmitFromTransaction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B6F665-45EF-E574-736F-5043BF69FFA2}"/>
            </a:ext>
          </a:extLst>
        </xdr:cNvPr>
        <xdr:cNvSpPr/>
      </xdr:nvSpPr>
      <xdr:spPr>
        <a:xfrm>
          <a:off x="6096000" y="920750"/>
          <a:ext cx="4864100" cy="749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POST</a:t>
          </a:r>
          <a:r>
            <a:rPr lang="en-US" sz="2000" baseline="0"/>
            <a:t> TRANSACTION FROM DASHBOARD</a:t>
          </a:r>
          <a:endParaRPr lang="en-US" sz="20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7A58D3-1C1C-4683-A858-68C3F7FC4EEC}" name="DeviceTable" displayName="DeviceTable" ref="A1:K3" totalsRowShown="0">
  <autoFilter ref="A1:K3" xr:uid="{247A58D3-1C1C-4683-A858-68C3F7FC4EEC}"/>
  <tableColumns count="11">
    <tableColumn id="1" xr3:uid="{699F4042-D437-4B35-90F7-A67AB9DDE186}" name="Serial Number"/>
    <tableColumn id="2" xr3:uid="{FEE091E5-BFFE-4323-9B7D-7228CA7C54EF}" name="Item Name"/>
    <tableColumn id="6" xr3:uid="{D6BEFD02-AF85-4C8E-A9FA-0FD028AC5D1D}" name="Opening Stock"/>
    <tableColumn id="7" xr3:uid="{1F6BAA5C-D2FC-4175-A045-325125116C7E}" name="Current Balance" dataDxfId="13">
      <calculatedColumnFormula>DeviceTable[[#This Row],[Opening Stock]] + SUMIFS(TransTable[Quantity], TransTable[ID], DeviceTable[[#This Row],[Serial Number]], TransTable[Action], "Purchase") - SUMIFS(TransTable[Quantity], TransTable[ID], DeviceTable[[#This Row],[Serial Number]], TransTable[Action], "Sale") + SUMIFS(TransTable[Quantity], TransTable[ID], DeviceTable[[#This Row],[Serial Number]], TransTable[Action], "Return")</calculatedColumnFormula>
    </tableColumn>
    <tableColumn id="3" xr3:uid="{5FC3A1D1-C2E8-4E78-9987-B8B3E15D156C}" name="Vendor Warranty Exp" dataDxfId="12">
      <calculatedColumnFormula>EDATE(DeviceTable[[#This Row],[Purchase Date]], DeviceTable[[#This Row],[Vendor Warranty (Months)]])</calculatedColumnFormula>
    </tableColumn>
    <tableColumn id="4" xr3:uid="{76A42BAD-93C8-451D-B249-07A1DD8EF359}" name="Customer Warranty Exp" dataDxfId="11">
      <calculatedColumnFormula>EDATE(DeviceTable[[#This Row],[Sale Date]], DeviceTable[[#This Row],[Client Warranty (Months)]])</calculatedColumnFormula>
    </tableColumn>
    <tableColumn id="5" xr3:uid="{073F9EDB-F004-4C55-A56C-A9607AEBFF39}" name="Status"/>
    <tableColumn id="8" xr3:uid="{043574C2-99A9-4FCD-BDE5-DD6FA1A8BC47}" name="Purchase Date" dataDxfId="10"/>
    <tableColumn id="9" xr3:uid="{C17999C8-B7DE-4B12-80D2-6DAB562711D8}" name="Sale Date" dataDxfId="9"/>
    <tableColumn id="10" xr3:uid="{0173D6D0-D42F-4E89-9DA8-93C22FBA517D}" name="Client Warranty (Months)"/>
    <tableColumn id="12" xr3:uid="{55DCC45E-DA1B-4635-A97E-EDDA2B28B17D}" name="Vendor Warranty (Months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4ADBC-B230-4298-99B9-0F940B4B552A}" name="AccTable" displayName="AccTable" ref="A1:F3" totalsRowShown="0">
  <autoFilter ref="A1:F3" xr:uid="{FA34ADBC-B230-4298-99B9-0F940B4B552A}"/>
  <tableColumns count="6">
    <tableColumn id="1" xr3:uid="{A5FF10EB-F0E3-45CB-A609-F58E045F8B1F}" name="Accessory Code"/>
    <tableColumn id="2" xr3:uid="{D072603A-84F2-4366-AE19-8B38C3B46AB7}" name="Accessory Name"/>
    <tableColumn id="3" xr3:uid="{4479FAD6-9968-410F-BF79-DC92251E94C1}" name="Linked Serial Number "/>
    <tableColumn id="5" xr3:uid="{38FDF1DE-DF2C-4AD5-8934-9D675A8B28EA}" name="Opening Stock"/>
    <tableColumn id="6" xr3:uid="{B6FFB250-8C83-45DD-9AB1-B6818DF0D7C9}" name="Current Balance" dataDxfId="8">
      <calculatedColumnFormula>AccTable[[#This Row],[Opening Stock]] + SUMIFS(TransTable[Quantity], TransTable[ID], AccTable[[#This Row],[Accessory Code]], TransTable[Action], "Purchase") - SUMIFS(TransTable[Quantity], TransTable[ID], AccTable[[#This Row],[Accessory Code]], TransTable[Action], "Sale") + SUMIFS(TransTable[Quantity], TransTable[ID], AccTable[[#This Row],[Accessory Code]], TransTable[Action], "Return")</calculatedColumnFormula>
    </tableColumn>
    <tableColumn id="4" xr3:uid="{B0378C4B-C00E-48F0-8213-3AF0ADEAC49A}" name="Purchase Date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97487A-FAF0-4D47-BE03-3E209DA8B5D5}" name="TransTable" displayName="TransTable" ref="A1:F10" totalsRowShown="0">
  <autoFilter ref="A1:F10" xr:uid="{4B97487A-FAF0-4D47-BE03-3E209DA8B5D5}"/>
  <tableColumns count="6">
    <tableColumn id="1" xr3:uid="{0FE75800-9B2C-43B7-A349-FC56975265BB}" name="Date"/>
    <tableColumn id="2" xr3:uid="{B0CD0371-B354-40C4-87A5-2B45C62C32FC}" name="ID"/>
    <tableColumn id="3" xr3:uid="{2D21FFE1-BA5D-4D18-83E6-7BA424C251E2}" name="Item Name"/>
    <tableColumn id="4" xr3:uid="{0C7686C4-7502-429B-9B06-1412C0E025E7}" name="Action"/>
    <tableColumn id="5" xr3:uid="{8249C5EB-C633-4DAB-ABAD-355612ED9347}" name="Destination"/>
    <tableColumn id="6" xr3:uid="{2E5FD1C2-5A9A-4A06-863C-9678F8140955}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B37FB1-A5E4-4C92-88E9-270EAEB6786F}" name="MaintTable" displayName="MaintTable" ref="A1:E4" totalsRowShown="0">
  <autoFilter ref="A1:E4" xr:uid="{FDB37FB1-A5E4-4C92-88E9-270EAEB6786F}"/>
  <tableColumns count="5">
    <tableColumn id="1" xr3:uid="{EE5ACBC7-560F-481E-8FCB-610FBEC61372}" name="Date"/>
    <tableColumn id="2" xr3:uid="{6159851F-FE3C-42AE-BD4C-A3E390CD7157}" name="Serial Number"/>
    <tableColumn id="3" xr3:uid="{4E84574D-023A-4BD5-83E8-C859F36AE9E2}" name="Maintenance Type"/>
    <tableColumn id="4" xr3:uid="{CA0ACE95-4737-429F-9BA4-FB317DDE1DA6}" name="Details"/>
    <tableColumn id="5" xr3:uid="{D2242057-F76D-41A1-8817-AA6E81C83402}" name="Co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workbookViewId="0">
      <selection activeCell="E1" sqref="E1"/>
    </sheetView>
  </sheetViews>
  <sheetFormatPr defaultRowHeight="14.5" x14ac:dyDescent="0.35"/>
  <cols>
    <col min="1" max="1" width="14.6328125" customWidth="1"/>
    <col min="2" max="2" width="12.08984375" customWidth="1"/>
    <col min="3" max="3" width="15.1796875" bestFit="1" customWidth="1"/>
    <col min="4" max="4" width="16.54296875" bestFit="1" customWidth="1"/>
    <col min="5" max="5" width="20.90625" style="25" customWidth="1"/>
    <col min="6" max="6" width="22.90625" style="25" customWidth="1"/>
    <col min="8" max="8" width="15.26953125" style="25" bestFit="1" customWidth="1"/>
    <col min="9" max="9" width="10.90625" style="25" bestFit="1" customWidth="1"/>
    <col min="10" max="10" width="24.90625" bestFit="1" customWidth="1"/>
    <col min="11" max="11" width="26.26953125" bestFit="1" customWidth="1"/>
  </cols>
  <sheetData>
    <row r="1" spans="1:11" x14ac:dyDescent="0.35">
      <c r="A1" t="s">
        <v>0</v>
      </c>
      <c r="B1" t="s">
        <v>1</v>
      </c>
      <c r="C1" t="s">
        <v>13</v>
      </c>
      <c r="D1" t="s">
        <v>18</v>
      </c>
      <c r="E1" s="25" t="s">
        <v>2</v>
      </c>
      <c r="F1" s="25" t="s">
        <v>3</v>
      </c>
      <c r="G1" t="s">
        <v>4</v>
      </c>
      <c r="H1" s="25" t="s">
        <v>30</v>
      </c>
      <c r="I1" s="25" t="s">
        <v>31</v>
      </c>
      <c r="J1" t="s">
        <v>32</v>
      </c>
      <c r="K1" t="s">
        <v>33</v>
      </c>
    </row>
    <row r="2" spans="1:11" x14ac:dyDescent="0.35">
      <c r="A2">
        <v>35102020</v>
      </c>
      <c r="B2" t="s">
        <v>21</v>
      </c>
      <c r="C2">
        <v>1</v>
      </c>
      <c r="D2">
        <f>DeviceTable[[#This Row],[Opening Stock]] + SUMIFS(TransTable[Quantity], TransTable[ID], DeviceTable[[#This Row],[Serial Number]], TransTable[Action], "Purchase") - SUMIFS(TransTable[Quantity], TransTable[ID], DeviceTable[[#This Row],[Serial Number]], TransTable[Action], "Sale") + SUMIFS(TransTable[Quantity], TransTable[ID], DeviceTable[[#This Row],[Serial Number]], TransTable[Action], "Return")</f>
        <v>1</v>
      </c>
      <c r="E2" s="25">
        <f>EDATE(DeviceTable[[#This Row],[Purchase Date]], DeviceTable[[#This Row],[Vendor Warranty (Months)]])</f>
        <v>46023</v>
      </c>
      <c r="F2" s="25">
        <f>EDATE(DeviceTable[[#This Row],[Sale Date]], DeviceTable[[#This Row],[Client Warranty (Months)]])</f>
        <v>46033</v>
      </c>
      <c r="G2" t="s">
        <v>22</v>
      </c>
      <c r="H2" s="25">
        <v>45658</v>
      </c>
      <c r="I2" s="25">
        <v>45668</v>
      </c>
      <c r="J2">
        <v>12</v>
      </c>
      <c r="K2">
        <v>12</v>
      </c>
    </row>
    <row r="3" spans="1:11" x14ac:dyDescent="0.35">
      <c r="D3">
        <f>DeviceTable[[#This Row],[Opening Stock]] + SUMIFS(TransTable[Quantity], TransTable[ID], DeviceTable[[#This Row],[Serial Number]], TransTable[Action], "Purchase") - SUMIFS(TransTable[Quantity], TransTable[ID], DeviceTable[[#This Row],[Serial Number]], TransTable[Action], "Sale") + SUMIFS(TransTable[Quantity], TransTable[ID], DeviceTable[[#This Row],[Serial Number]], TransTable[Action], "Return")</f>
        <v>0</v>
      </c>
      <c r="E3" s="25">
        <f>EDATE(DeviceTable[[#This Row],[Purchase Date]], DeviceTable[[#This Row],[Vendor Warranty (Months)]])</f>
        <v>0</v>
      </c>
      <c r="F3" s="25">
        <f>EDATE(DeviceTable[[#This Row],[Sale Date]], DeviceTable[[#This Row],[Client Warranty (Months)]])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773-A879-4F73-9982-2D1CC8E1FBEA}">
  <sheetPr codeName="Sheet2"/>
  <dimension ref="A1:F3"/>
  <sheetViews>
    <sheetView workbookViewId="0">
      <selection activeCell="C13" sqref="C13"/>
    </sheetView>
  </sheetViews>
  <sheetFormatPr defaultRowHeight="14.5" x14ac:dyDescent="0.35"/>
  <cols>
    <col min="1" max="1" width="15.7265625" customWidth="1"/>
    <col min="2" max="2" width="16.36328125" customWidth="1"/>
    <col min="3" max="3" width="21" customWidth="1"/>
    <col min="4" max="4" width="15.1796875" bestFit="1" customWidth="1"/>
    <col min="5" max="5" width="16.54296875" bestFit="1" customWidth="1"/>
    <col min="6" max="6" width="15.36328125" customWidth="1"/>
  </cols>
  <sheetData>
    <row r="1" spans="1:6" x14ac:dyDescent="0.35">
      <c r="A1" t="s">
        <v>5</v>
      </c>
      <c r="B1" t="s">
        <v>6</v>
      </c>
      <c r="C1" t="s">
        <v>7</v>
      </c>
      <c r="D1" t="s">
        <v>13</v>
      </c>
      <c r="E1" t="s">
        <v>18</v>
      </c>
      <c r="F1" t="s">
        <v>8</v>
      </c>
    </row>
    <row r="2" spans="1:6" x14ac:dyDescent="0.35">
      <c r="A2" t="s">
        <v>23</v>
      </c>
      <c r="B2" t="s">
        <v>25</v>
      </c>
      <c r="C2">
        <v>35102020</v>
      </c>
      <c r="D2">
        <v>2</v>
      </c>
      <c r="E2">
        <f>AccTable[[#This Row],[Opening Stock]] + SUMIFS(TransTable[Quantity], TransTable[ID], AccTable[[#This Row],[Accessory Code]], TransTable[Action], "Purchase") - SUMIFS(TransTable[Quantity], TransTable[ID], AccTable[[#This Row],[Accessory Code]], TransTable[Action], "Sale") + SUMIFS(TransTable[Quantity], TransTable[ID], AccTable[[#This Row],[Accessory Code]], TransTable[Action], "Return")</f>
        <v>10</v>
      </c>
      <c r="F2" s="3">
        <v>45658</v>
      </c>
    </row>
    <row r="3" spans="1:6" x14ac:dyDescent="0.35">
      <c r="E3">
        <f>AccTable[[#This Row],[Opening Stock]] + SUMIFS(TransTable[Quantity], TransTable[ID], AccTable[[#This Row],[Accessory Code]], TransTable[Action], "Purchase") - SUMIFS(TransTable[Quantity], TransTable[ID], AccTable[[#This Row],[Accessory Code]], TransTable[Action], "Sale") + SUMIFS(TransTable[Quantity], TransTable[ID], AccTable[[#This Row],[Accessory Code]], TransTable[Action], "Return")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390EE-CA52-4228-8694-62DAD7C981AE}">
  <sheetPr codeName="Sheet3"/>
  <dimension ref="A1:M33"/>
  <sheetViews>
    <sheetView workbookViewId="0">
      <selection activeCell="H10" sqref="H10"/>
    </sheetView>
  </sheetViews>
  <sheetFormatPr defaultRowHeight="14.5" x14ac:dyDescent="0.35"/>
  <cols>
    <col min="1" max="1" width="10.81640625" style="1" customWidth="1"/>
    <col min="2" max="2" width="32.26953125" style="1" customWidth="1"/>
    <col min="3" max="3" width="14.81640625" style="1" customWidth="1"/>
    <col min="4" max="4" width="30.26953125" style="1" bestFit="1" customWidth="1"/>
    <col min="5" max="5" width="10" style="1" bestFit="1" customWidth="1"/>
    <col min="6" max="6" width="10.453125" style="1" bestFit="1" customWidth="1"/>
    <col min="7" max="7" width="8.7265625" style="1"/>
    <col min="8" max="8" width="30.26953125" style="1" bestFit="1" customWidth="1"/>
    <col min="9" max="9" width="20.90625" style="1" customWidth="1"/>
    <col min="10" max="10" width="8.7265625" style="1"/>
    <col min="11" max="11" width="7.08984375" style="1" customWidth="1"/>
    <col min="12" max="16384" width="8.7265625" style="1"/>
  </cols>
  <sheetData>
    <row r="1" spans="1:13" ht="52" x14ac:dyDescent="0.35">
      <c r="D1" s="24" t="str">
        <f>IF(C3&lt;&gt;"", "📊 DEVICE TRACEABILITY MODE", IF(C5&lt;&gt;"", "🔧 ACCESSORY SEARCH MODE", "💤 SYSTEM IDLE - ENTER SEARCH"))</f>
        <v>💤 SYSTEM IDLE - ENTER SEARCH</v>
      </c>
      <c r="H1" s="29" t="s">
        <v>35</v>
      </c>
      <c r="I1" s="1" t="str" cm="1">
        <f t="array" aca="1" ref="I1" ca="1">IF(C3="", "", _xlfn.XLOOKUP(C3, DeviceTable[[#All],[Serial Number]], DeviceTable[[#All],[Customer Warranty Exp]]) - TODAY())</f>
        <v/>
      </c>
    </row>
    <row r="3" spans="1:13" ht="26" x14ac:dyDescent="0.35">
      <c r="B3" s="16" t="s">
        <v>19</v>
      </c>
      <c r="C3" s="5"/>
      <c r="F3" s="12"/>
      <c r="H3" s="22" t="s">
        <v>18</v>
      </c>
      <c r="I3" s="18">
        <f>IF(C3&lt;&gt;"", _xlfn.XLOOKUP(C3, DeviceTable[Serial Number], DeviceTable[Current Balance]), IFERROR(_xlfn.XLOOKUP(C5, AccTable[Accessory Code], AccTable[Current Balance]), 0))</f>
        <v>0</v>
      </c>
      <c r="M3" s="12"/>
    </row>
    <row r="5" spans="1:13" ht="26" x14ac:dyDescent="0.35">
      <c r="B5" s="17" t="s">
        <v>20</v>
      </c>
      <c r="C5" s="4"/>
      <c r="E5" s="18">
        <f>SUMIFS(TransTable[Quantity], TransTable[ID], C5, TransTable[Action], "Sale")</f>
        <v>0</v>
      </c>
      <c r="G5" s="12"/>
      <c r="H5" s="23" t="str">
        <f>IF(C3&lt;&gt;"", "Vendor Warranty Exp", "Total Purchased Qty")</f>
        <v>Total Purchased Qty</v>
      </c>
      <c r="I5" s="26">
        <f>IF(C3&lt;&gt;"", _xlfn.XLOOKUP(C3, DeviceTable[Serial Number], DeviceTable[Vendor Warranty Exp]), IFERROR(SUMIFS(TransTable[Quantity], TransTable[ID], C5, TransTable[Action], "Purchase"), 0))</f>
        <v>0</v>
      </c>
      <c r="L5" s="21"/>
      <c r="M5" s="12"/>
    </row>
    <row r="7" spans="1:13" ht="23.5" x14ac:dyDescent="0.45">
      <c r="H7" s="23" t="s">
        <v>34</v>
      </c>
      <c r="I7" s="28" cm="1">
        <f t="array" ref="I7">_xlfn.XLOOKUP(C3, DeviceTable[[#All],[Serial Number]], DeviceTable[[#All],[Customer Warranty Exp]], "Not Sold Yet")</f>
        <v>0</v>
      </c>
      <c r="M7" s="2"/>
    </row>
    <row r="9" spans="1:13" ht="58.5" customHeight="1" x14ac:dyDescent="0.35">
      <c r="B9" s="14"/>
      <c r="C9" s="11"/>
      <c r="D9" s="11"/>
      <c r="E9" s="11"/>
      <c r="F9" s="11"/>
      <c r="G9" s="11"/>
      <c r="H9" s="27" t="str">
        <f>IF(C3&lt;&gt;"", "Maint. Contract Exp", "Linked to Device ")</f>
        <v xml:space="preserve">Linked to Device </v>
      </c>
      <c r="I9" s="18" cm="1">
        <f t="array" ref="I9">_xlfn.XLOOKUP(_xlfn.XLOOKUP(C5, AccTable[[#All],[Accessory Code]],AccTable[[#All],[Linked Serial Number ]]),DeviceTable[[#All],[Serial Number]],DeviceTable[[#All],[Item Name]],"No Device Linked")</f>
        <v>0</v>
      </c>
      <c r="L9" s="19"/>
      <c r="M9" s="20"/>
    </row>
    <row r="10" spans="1:13" x14ac:dyDescent="0.35">
      <c r="B10" s="15"/>
      <c r="C10" s="11"/>
      <c r="D10" s="11"/>
      <c r="E10" s="11"/>
      <c r="F10" s="11"/>
      <c r="G10" s="11"/>
    </row>
    <row r="11" spans="1:13" ht="28.5" x14ac:dyDescent="0.35">
      <c r="H11" s="29"/>
      <c r="I11" s="30"/>
    </row>
    <row r="12" spans="1:13" x14ac:dyDescent="0.35">
      <c r="A12" s="7" t="str" cm="1">
        <f t="array" ref="A12">IF(C3="", "", _xlfn._xlws.SORT(_xlfn._xlws.FILTER(MaintTable[], MaintTable[Serial Number] = C3, "No History"), 1, -1))</f>
        <v/>
      </c>
      <c r="B12" s="6"/>
      <c r="C12" s="6"/>
      <c r="D12" s="6"/>
      <c r="E12" s="6"/>
      <c r="G12" s="1" t="str" cm="1">
        <f t="array" ref="G12">IF(C5="", "", _xlfn._xlws.FILTER(TransTable[], TransTable[ID] = C5, "No Transactions for this Accessory"))</f>
        <v/>
      </c>
    </row>
    <row r="13" spans="1:13" x14ac:dyDescent="0.35">
      <c r="A13" s="7"/>
      <c r="B13" s="6"/>
      <c r="C13" s="6"/>
      <c r="D13" s="6"/>
      <c r="E13" s="6"/>
    </row>
    <row r="14" spans="1:13" x14ac:dyDescent="0.35">
      <c r="A14" s="7"/>
      <c r="B14" s="6"/>
      <c r="C14" s="6"/>
      <c r="D14" s="6"/>
      <c r="E14" s="6"/>
    </row>
    <row r="15" spans="1:13" x14ac:dyDescent="0.35">
      <c r="A15" s="7"/>
      <c r="B15" s="6"/>
      <c r="C15" s="6"/>
      <c r="D15" s="6"/>
      <c r="E15" s="6"/>
    </row>
    <row r="16" spans="1:13" x14ac:dyDescent="0.35">
      <c r="A16" s="7"/>
      <c r="B16" s="6"/>
      <c r="C16" s="6"/>
      <c r="D16" s="6"/>
      <c r="E16" s="6"/>
    </row>
    <row r="18" spans="1:9" x14ac:dyDescent="0.35">
      <c r="A18" s="6" t="str" cm="1">
        <f t="array" ref="A18">IF(C3="", "", _xlfn._xlws.FILTER(AccTable[], AccTable[[Linked Serial Number ]] = C3, "No Accessories Found"))</f>
        <v/>
      </c>
      <c r="B18" s="6"/>
      <c r="C18" s="6"/>
      <c r="D18" s="6"/>
      <c r="E18" s="6"/>
      <c r="F18" s="7"/>
    </row>
    <row r="19" spans="1:9" ht="18.5" x14ac:dyDescent="0.35">
      <c r="B19" s="10"/>
      <c r="C19" s="9"/>
      <c r="I19" s="8"/>
    </row>
    <row r="20" spans="1:9" x14ac:dyDescent="0.35">
      <c r="I20" s="8"/>
    </row>
    <row r="21" spans="1:9" x14ac:dyDescent="0.35">
      <c r="I21" s="8"/>
    </row>
    <row r="22" spans="1:9" x14ac:dyDescent="0.35">
      <c r="I22" s="8"/>
    </row>
    <row r="23" spans="1:9" x14ac:dyDescent="0.35">
      <c r="I23" s="8"/>
    </row>
    <row r="24" spans="1:9" x14ac:dyDescent="0.35">
      <c r="I24" s="8"/>
    </row>
    <row r="25" spans="1:9" x14ac:dyDescent="0.35">
      <c r="I25" s="8"/>
    </row>
    <row r="26" spans="1:9" x14ac:dyDescent="0.35">
      <c r="I26" s="8"/>
    </row>
    <row r="27" spans="1:9" x14ac:dyDescent="0.35">
      <c r="I27" s="8"/>
    </row>
    <row r="28" spans="1:9" x14ac:dyDescent="0.35">
      <c r="I28" s="8"/>
    </row>
    <row r="29" spans="1:9" x14ac:dyDescent="0.35">
      <c r="I29" s="8"/>
    </row>
    <row r="30" spans="1:9" x14ac:dyDescent="0.35">
      <c r="I30" s="8"/>
    </row>
    <row r="32" spans="1:9" x14ac:dyDescent="0.35">
      <c r="A32" s="13"/>
      <c r="B32" s="6"/>
      <c r="C32" s="6"/>
      <c r="D32" s="6"/>
      <c r="E32" s="6"/>
      <c r="F32" s="6"/>
    </row>
    <row r="33" spans="1:6" x14ac:dyDescent="0.35">
      <c r="A33" s="13"/>
      <c r="B33" s="6"/>
      <c r="C33" s="6"/>
      <c r="D33" s="6"/>
      <c r="E33" s="6"/>
      <c r="F33" s="6"/>
    </row>
  </sheetData>
  <sheetProtection formatCells="0" formatColumns="0" formatRows="0"/>
  <conditionalFormatting sqref="M3">
    <cfRule type="expression" dxfId="7" priority="8">
      <formula>AND($C$5&lt;&gt;"", IndicatorCell = 0)</formula>
    </cfRule>
  </conditionalFormatting>
  <conditionalFormatting sqref="A1:XFD6 A12:XFD13 B11:G11 A18:XFD1048576 B17:XFD17 A15:XFD16 A14:G14 I14:XFD14 A8:XFD10 A7:G7 J7:XFD7 J11:XFD11">
    <cfRule type="expression" dxfId="6" priority="4">
      <formula>$C$3&lt;&gt;""</formula>
    </cfRule>
    <cfRule type="expression" dxfId="5" priority="5">
      <formula>$C$3&lt;&gt;""</formula>
    </cfRule>
    <cfRule type="expression" dxfId="4" priority="6">
      <formula>$C$5&lt;&gt;""</formula>
    </cfRule>
    <cfRule type="expression" dxfId="3" priority="7">
      <formula>$C$3&lt;&gt;""</formula>
    </cfRule>
  </conditionalFormatting>
  <conditionalFormatting sqref="A1:XFD6 A15:XFD1048576 A14:G14 I14:XFD14 A8:XFD10 A7:G7 J7:XFD7 A12:XFD13 A11:G11 J11:XFD11">
    <cfRule type="expression" dxfId="2" priority="3">
      <formula>$C$3&lt;&gt;""</formula>
    </cfRule>
  </conditionalFormatting>
  <conditionalFormatting sqref="A1:XFD10 A12:XFD1048576 A11:G11 J11:XFD11">
    <cfRule type="expression" dxfId="1" priority="2">
      <formula>$C$3&lt;&gt;""</formula>
    </cfRule>
  </conditionalFormatting>
  <conditionalFormatting sqref="A1:XFD1048576">
    <cfRule type="expression" dxfId="0" priority="1">
      <formula>$C$3&lt;&gt;""</formula>
    </cfRule>
  </conditionalFormatting>
  <dataValidations count="2">
    <dataValidation allowBlank="1" showInputMessage="1" showErrorMessage="1" errorTitle="=C5=&quot;&quot;" error="Clear Dashboard First! You cannot search by Serial while an Accessory code is present." sqref="C3" xr:uid="{9F78383F-CBED-4A6A-B9A8-B11976BA0018}"/>
    <dataValidation allowBlank="1" showInputMessage="1" showErrorMessage="1" errorTitle="=C3=&quot;&quot;" error="Clear Dashboard First! You cannot search by Accessory code  while Serial Number is present." sqref="C5" xr:uid="{23257E1A-01B7-4B69-86AA-8416457CDA08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C6167-0374-496A-8A53-7B74AF089DD7}">
  <sheetPr codeName="Sheet4"/>
  <dimension ref="A1"/>
  <sheetViews>
    <sheetView tabSelected="1" workbookViewId="0">
      <selection activeCell="I8" sqref="I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CA22-6C46-4AFB-A3A3-882E5903D502}">
  <sheetPr codeName="Sheet7"/>
  <dimension ref="A1:D14"/>
  <sheetViews>
    <sheetView topLeftCell="A20" workbookViewId="0">
      <selection activeCell="C1" sqref="C1"/>
    </sheetView>
  </sheetViews>
  <sheetFormatPr defaultRowHeight="14.5" x14ac:dyDescent="0.35"/>
  <cols>
    <col min="1" max="1" width="38" bestFit="1" customWidth="1"/>
    <col min="2" max="2" width="14.54296875" bestFit="1" customWidth="1"/>
    <col min="3" max="3" width="30.26953125" bestFit="1" customWidth="1"/>
    <col min="4" max="4" width="5.90625" bestFit="1" customWidth="1"/>
  </cols>
  <sheetData>
    <row r="1" spans="1:4" ht="42.5" customHeight="1" x14ac:dyDescent="0.35">
      <c r="A1" s="35" t="s">
        <v>36</v>
      </c>
      <c r="C1" s="34" t="s">
        <v>49</v>
      </c>
    </row>
    <row r="3" spans="1:4" x14ac:dyDescent="0.35">
      <c r="A3" t="s">
        <v>37</v>
      </c>
      <c r="B3" t="s">
        <v>38</v>
      </c>
    </row>
    <row r="4" spans="1:4" x14ac:dyDescent="0.35">
      <c r="A4" t="s">
        <v>39</v>
      </c>
      <c r="B4" t="s">
        <v>21</v>
      </c>
    </row>
    <row r="5" spans="1:4" x14ac:dyDescent="0.35">
      <c r="A5" t="s">
        <v>40</v>
      </c>
      <c r="B5" s="31">
        <v>46053.976736111108</v>
      </c>
    </row>
    <row r="7" spans="1:4" x14ac:dyDescent="0.35">
      <c r="A7" s="32" t="s">
        <v>41</v>
      </c>
    </row>
    <row r="8" spans="1:4" x14ac:dyDescent="0.35">
      <c r="A8" s="33" t="s">
        <v>42</v>
      </c>
      <c r="B8" s="33" t="s">
        <v>11</v>
      </c>
      <c r="C8" s="33" t="s">
        <v>43</v>
      </c>
      <c r="D8" s="33" t="s">
        <v>17</v>
      </c>
    </row>
    <row r="9" spans="1:4" x14ac:dyDescent="0.35">
      <c r="A9" s="3">
        <v>45870</v>
      </c>
      <c r="B9" t="s">
        <v>28</v>
      </c>
      <c r="C9" t="s">
        <v>29</v>
      </c>
      <c r="D9">
        <v>2000</v>
      </c>
    </row>
    <row r="12" spans="1:4" x14ac:dyDescent="0.35">
      <c r="A12" s="32" t="s">
        <v>44</v>
      </c>
    </row>
    <row r="13" spans="1:4" x14ac:dyDescent="0.35">
      <c r="A13" s="33" t="s">
        <v>45</v>
      </c>
      <c r="B13" s="33" t="s">
        <v>1</v>
      </c>
      <c r="C13" s="33" t="s">
        <v>46</v>
      </c>
      <c r="D13" s="33" t="s">
        <v>4</v>
      </c>
    </row>
    <row r="14" spans="1:4" x14ac:dyDescent="0.35">
      <c r="A14" t="s">
        <v>47</v>
      </c>
      <c r="B14" t="s">
        <v>25</v>
      </c>
      <c r="C14" t="s">
        <v>23</v>
      </c>
      <c r="D14" t="s">
        <v>48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99236-D7BF-4210-9278-FF18D4249AAA}">
  <sheetPr codeName="Sheet5"/>
  <dimension ref="A1:F4"/>
  <sheetViews>
    <sheetView workbookViewId="0">
      <pane ySplit="1" topLeftCell="A2" activePane="bottomLeft" state="frozen"/>
      <selection pane="bottomLeft" activeCell="A11" sqref="A11:XFD1048576"/>
    </sheetView>
  </sheetViews>
  <sheetFormatPr defaultRowHeight="14.5" x14ac:dyDescent="0.35"/>
  <cols>
    <col min="3" max="3" width="12.08984375" customWidth="1"/>
    <col min="5" max="5" width="12.54296875" customWidth="1"/>
    <col min="6" max="6" width="10.1796875" customWidth="1"/>
  </cols>
  <sheetData>
    <row r="1" spans="1:6" x14ac:dyDescent="0.35">
      <c r="A1" t="s">
        <v>9</v>
      </c>
      <c r="B1" t="s">
        <v>10</v>
      </c>
      <c r="C1" t="s">
        <v>1</v>
      </c>
      <c r="D1" t="s">
        <v>11</v>
      </c>
      <c r="E1" t="s">
        <v>12</v>
      </c>
      <c r="F1" t="s">
        <v>14</v>
      </c>
    </row>
    <row r="2" spans="1:6" x14ac:dyDescent="0.35">
      <c r="A2" s="3">
        <v>45693</v>
      </c>
      <c r="B2" t="s">
        <v>23</v>
      </c>
      <c r="C2" t="s">
        <v>25</v>
      </c>
      <c r="D2" t="s">
        <v>26</v>
      </c>
      <c r="E2" t="s">
        <v>27</v>
      </c>
      <c r="F2">
        <v>2</v>
      </c>
    </row>
    <row r="3" spans="1:6" x14ac:dyDescent="0.35">
      <c r="A3" s="3">
        <v>45658</v>
      </c>
      <c r="B3" t="s">
        <v>23</v>
      </c>
      <c r="C3" t="s">
        <v>25</v>
      </c>
      <c r="D3" t="s">
        <v>24</v>
      </c>
      <c r="E3" t="s">
        <v>27</v>
      </c>
      <c r="F3">
        <v>10</v>
      </c>
    </row>
    <row r="4" spans="1:6" x14ac:dyDescent="0.35">
      <c r="F4">
        <v>3</v>
      </c>
    </row>
  </sheetData>
  <dataValidations count="1">
    <dataValidation type="list" allowBlank="1" showInputMessage="1" showErrorMessage="1" sqref="D1:D10" xr:uid="{7173F1E9-29B8-4E90-8239-A9B33511D9A1}">
      <formula1>"Sale,Return,Purchase"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3BA42-F5E6-4D30-8B03-64453BF095E3}">
  <sheetPr codeName="Sheet6"/>
  <dimension ref="A1:E4"/>
  <sheetViews>
    <sheetView workbookViewId="0">
      <selection activeCell="A7" sqref="A7"/>
    </sheetView>
  </sheetViews>
  <sheetFormatPr defaultRowHeight="14.5" x14ac:dyDescent="0.35"/>
  <cols>
    <col min="2" max="2" width="14.6328125" customWidth="1"/>
    <col min="3" max="3" width="18.26953125" customWidth="1"/>
    <col min="4" max="4" width="30.26953125" bestFit="1" customWidth="1"/>
  </cols>
  <sheetData>
    <row r="1" spans="1:5" x14ac:dyDescent="0.35">
      <c r="A1" t="s">
        <v>9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35">
      <c r="A2" s="3">
        <v>45665</v>
      </c>
      <c r="B2">
        <v>35102020</v>
      </c>
      <c r="C2" t="s">
        <v>28</v>
      </c>
      <c r="D2" t="s">
        <v>29</v>
      </c>
      <c r="E2">
        <v>2000</v>
      </c>
    </row>
    <row r="3" spans="1:5" x14ac:dyDescent="0.35">
      <c r="A3" t="s">
        <v>50</v>
      </c>
    </row>
    <row r="4" spans="1:5" x14ac:dyDescent="0.35">
      <c r="A4" s="3">
        <v>46025</v>
      </c>
    </row>
  </sheetData>
  <dataValidations count="1">
    <dataValidation type="list" allowBlank="1" showInputMessage="1" showErrorMessage="1" sqref="C1:C1048576" xr:uid="{F156CE9D-5E69-49EE-9276-5EA7ACFF173E}">
      <formula1>"Contracts,One-off"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Master_Devices</vt:lpstr>
      <vt:lpstr>Accessories</vt:lpstr>
      <vt:lpstr>Dashboard</vt:lpstr>
      <vt:lpstr>Sheet1</vt:lpstr>
      <vt:lpstr>Report_Template</vt:lpstr>
      <vt:lpstr>Transactions</vt:lpstr>
      <vt:lpstr>Maintenance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 Gamal</cp:lastModifiedBy>
  <cp:lastPrinted>2026-01-31T21:26:33Z</cp:lastPrinted>
  <dcterms:created xsi:type="dcterms:W3CDTF">2015-06-05T18:17:20Z</dcterms:created>
  <dcterms:modified xsi:type="dcterms:W3CDTF">2026-02-04T09:54:59Z</dcterms:modified>
</cp:coreProperties>
</file>